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and Aliexpress links" sheetId="1" r:id="rId5"/>
    <sheet state="hidden" name="PRIORITRON3 BOM" sheetId="2" r:id="rId6"/>
  </sheets>
  <definedNames/>
  <calcPr/>
</workbook>
</file>

<file path=xl/sharedStrings.xml><?xml version="1.0" encoding="utf-8"?>
<sst xmlns="http://schemas.openxmlformats.org/spreadsheetml/2006/main" count="122" uniqueCount="73">
  <si>
    <t>Reference</t>
  </si>
  <si>
    <t>Value</t>
  </si>
  <si>
    <t>Qty</t>
  </si>
  <si>
    <t>A1</t>
  </si>
  <si>
    <t>Arduino_Nano v.3 (old bootloader) ATMEGA328P</t>
  </si>
  <si>
    <t>Datasheet</t>
  </si>
  <si>
    <t>Footprint</t>
  </si>
  <si>
    <t>x30</t>
  </si>
  <si>
    <t>https://www.aliexpress.com/item/1005001580483272.html?spm=a2g0o.order_detail.order_detail_item.4.622df19cpXrmyh</t>
  </si>
  <si>
    <t>x50</t>
  </si>
  <si>
    <t>no supplied</t>
  </si>
  <si>
    <t>pack cost</t>
  </si>
  <si>
    <t>unit cost</t>
  </si>
  <si>
    <t>Cost per Synth</t>
  </si>
  <si>
    <t>Arduino_Nano_v3.x</t>
  </si>
  <si>
    <t>http://www.mouser.com/pdfdocs/Gravitech_Arduino_Nano3_0.pdf</t>
  </si>
  <si>
    <t>Module:Arduino_Nano</t>
  </si>
  <si>
    <t>Stripboard</t>
  </si>
  <si>
    <t>https://www.aliexpress.com/item/1005007944192559.html?spm=a2g0o.order_list.order_list_main.122.e00b1802xZCZ7G</t>
  </si>
  <si>
    <t>LED Matrix</t>
  </si>
  <si>
    <t>WS2812 LED 5050 RGB 8x8 64 LED Matrix forArduino</t>
  </si>
  <si>
    <t>PCB</t>
  </si>
  <si>
    <t>https://www.aliexpress.com/item/1005007492460269.html?spm=a2g0o.order_list.order_list_main.17.7ce818022WOMUp</t>
  </si>
  <si>
    <t>jlPCB</t>
  </si>
  <si>
    <t>https://www.aliexpress.com/item/1005007492460269.html?spm=a2g0o.cart.0.0.494f38daIFlsi5&amp;mp=1&amp;pdp_npi=5%40dis%21GBP%21GBP%201.63%21GBP%201.63%21%21%21%21%21%402103917f17426776041137705e0a25%2112000041008366377%21ct%21UK%214872209615%21%2120%210</t>
  </si>
  <si>
    <t>C1,C2,C5,C8</t>
  </si>
  <si>
    <t>100nF</t>
  </si>
  <si>
    <t>C3,C6</t>
  </si>
  <si>
    <t>220nF</t>
  </si>
  <si>
    <t>C4</t>
  </si>
  <si>
    <t>100uF</t>
  </si>
  <si>
    <t>C7</t>
  </si>
  <si>
    <t>1nF</t>
  </si>
  <si>
    <t>J1, J2, J3</t>
  </si>
  <si>
    <t>Clock_IN</t>
  </si>
  <si>
    <t>~</t>
  </si>
  <si>
    <t>https://www.aliexpress.com/item/1005005352992401.html?spm=a2g0o.order_list.order_list_main.34.45de1802F6e2uc</t>
  </si>
  <si>
    <t>Capacitor_THT:C_Disc_D5.0mm_W2.5mm_P5.00mm</t>
  </si>
  <si>
    <t>Capacitor_THT:CP_Radial_D8.0mm_P3.50mm</t>
  </si>
  <si>
    <t>USB Socket</t>
  </si>
  <si>
    <t>+5v in</t>
  </si>
  <si>
    <t>https://www.aliexpress.com/item/1005007469691687.html?spm=a2g0o.order_list.order_list_main.120.7ce818022WOMUp</t>
  </si>
  <si>
    <t>Connector_Audio:Jack_3.5mm_QingPu_WQP-PJ398SM_Vertical_CircularHoles</t>
  </si>
  <si>
    <t>https://www.aliexpress.com/item/1005005352992401.html?gps-id=pcStoreLeaderboard&amp;scm=1007.22922.271278.0&amp;scm_id=1007.22922.271278.0&amp;scm-url=1007.22922.271278.0&amp;pvid=60f1fd43-dfc8-4594-bebf-7f09a0a9be52&amp;_t=gps-id:pcStoreLeaderboard,scm-url:1007.22922.271278.0,pvid:60f1fd43-dfc8-4594-bebf-7f09a0a9be52,tpp_buckets:668%232846%238113%231998&amp;pdp_ext_f=%7B%22order%22%3A%22113%22%2C%22eval%22%3A%221%22%2C%22sceneId%22%3A%2212922%22%7D&amp;pdp_npi=4%40dis%21GBP%215.89%215.89%21%21%2153.74%2153.74%21%40211b815c17426772262835108e68ee%2112000032717531978%21rec%21UK%216056454675%21X&amp;spm=a2g0o.store_pc_home.smartLeaderboard_2003105687344.1005005352992401</t>
  </si>
  <si>
    <t>R1</t>
  </si>
  <si>
    <t>100K</t>
  </si>
  <si>
    <t>R2,R3</t>
  </si>
  <si>
    <t>10K</t>
  </si>
  <si>
    <t>R4,R7</t>
  </si>
  <si>
    <t>330R</t>
  </si>
  <si>
    <t>R5,R6</t>
  </si>
  <si>
    <t>680R</t>
  </si>
  <si>
    <t>R8</t>
  </si>
  <si>
    <t>270R</t>
  </si>
  <si>
    <t>RV1,RV2</t>
  </si>
  <si>
    <t>50K Potentiometer RK097k</t>
  </si>
  <si>
    <t>https://www.aliexpress.com/item/1005005661105692.html?spm=a2g0o.order_list.order_list_main.109.7ce818022WOMUp</t>
  </si>
  <si>
    <t>Connector_PinHeader_2.54mm:PinHeader_1x02_P2.54mm_Vertical</t>
  </si>
  <si>
    <t>Resistor_THT:R_Axial_DIN0207_L6.3mm_D2.5mm_P7.62mm_Horizontal</t>
  </si>
  <si>
    <t>SW1</t>
  </si>
  <si>
    <t>12x12 Tact Switch (12mm height)</t>
  </si>
  <si>
    <t>https://www.aliexpress.com/item/1005005028909948.html?spm=a2g0o.order_list.order_list_main.63.7ce818022WOMUp</t>
  </si>
  <si>
    <t>1K</t>
  </si>
  <si>
    <t>SW3</t>
  </si>
  <si>
    <t>RotaryEncoder_Switch</t>
  </si>
  <si>
    <t>https://www.aliexpress.com/item/1005005983134515.html?spm=a2g0o.order_list.order_list_main.90.7ce818022WOMUp</t>
  </si>
  <si>
    <t>50K Potentiometer</t>
  </si>
  <si>
    <t>RK097k</t>
  </si>
  <si>
    <t>Potentiometer_THT:Potentiometer_Alps_RK09K_Single_Vertical</t>
  </si>
  <si>
    <t>SW_MEC_5E</t>
  </si>
  <si>
    <t>Button_Switch_THT:SW_PUSH-12mm</t>
  </si>
  <si>
    <t>https://www.aliexpress.com/item/1005005028909948.html?spm=a2g0o.order_list.order_list_main.10.7bc01802W66C0L</t>
  </si>
  <si>
    <t>Rotary_Encoder:RotaryEncoder_Alps_EC12E-Switch_Vertical_H20mm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</si>
</sst>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000000"/>
      <name val="Arial"/>
    </font>
    <font>
      <b/>
      <sz val="11.0"/>
      <color rgb="FF000000"/>
      <name val="&quot;TT Norms Pro&quot;"/>
    </font>
    <font>
      <b/>
      <u/>
      <sz val="11.0"/>
      <color rgb="FF000000"/>
      <name val="&quot;TT Norms Pro&quot;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Font="1"/>
    <xf borderId="1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1580483272.html?spm=a2g0o.order_detail.order_detail_item.4.622df19cpXrmyh" TargetMode="External"/><Relationship Id="rId2" Type="http://schemas.openxmlformats.org/officeDocument/2006/relationships/hyperlink" Target="https://www.aliexpress.com/item/1005007944192559.html?spm=a2g0o.order_list.order_list_main.122.e00b1802xZCZ7G" TargetMode="External"/><Relationship Id="rId3" Type="http://schemas.openxmlformats.org/officeDocument/2006/relationships/hyperlink" Target="https://www.aliexpress.com/item/1005007492460269.html?spm=a2g0o.order_list.order_list_main.17.7ce818022WOMUp" TargetMode="External"/><Relationship Id="rId4" Type="http://schemas.openxmlformats.org/officeDocument/2006/relationships/hyperlink" Target="https://www.aliexpress.com/item/1005005352992401.html?spm=a2g0o.order_list.order_list_main.34.45de1802F6e2uc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liexpress.com/item/1005007469691687.html?spm=a2g0o.order_list.order_list_main.120.7ce818022WOMUp" TargetMode="External"/><Relationship Id="rId6" Type="http://schemas.openxmlformats.org/officeDocument/2006/relationships/hyperlink" Target="https://www.aliexpress.com/item/1005005661105692.html?spm=a2g0o.order_list.order_list_main.109.7ce818022WOMUp" TargetMode="External"/><Relationship Id="rId7" Type="http://schemas.openxmlformats.org/officeDocument/2006/relationships/hyperlink" Target="https://www.aliexpress.com/item/1005005028909948.html?spm=a2g0o.order_list.order_list_main.63.7ce818022WOMUp" TargetMode="External"/><Relationship Id="rId8" Type="http://schemas.openxmlformats.org/officeDocument/2006/relationships/hyperlink" Target="https://www.aliexpress.com/item/1005005983134515.html?spm=a2g0o.order_list.order_list_main.90.7ce818022WOMU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ouser.com/pdfdocs/Gravitech_Arduino_Nano3_0.pdf" TargetMode="External"/><Relationship Id="rId2" Type="http://schemas.openxmlformats.org/officeDocument/2006/relationships/hyperlink" Target="https://www.aliexpress.com/item/1005007492460269.html?spm=a2g0o.cart.0.0.494f38daIFlsi5&amp;mp=1&amp;pdp_npi=5%40dis%21GBP%21GBP%201.63%21GBP%201.63%21%21%21%21%21%402103917f17426776041137705e0a25%2112000041008366377%21ct%21UK%214872209615%21%2120%210" TargetMode="External"/><Relationship Id="rId3" Type="http://schemas.openxmlformats.org/officeDocument/2006/relationships/hyperlink" Target="https://www.aliexpress.com/item/1005005352992401.html?gps-id=pcStoreLeaderboard&amp;scm=1007.22922.271278.0&amp;scm_id=1007.22922.271278.0&amp;scm-url=1007.22922.271278.0&amp;pvid=60f1fd43-dfc8-4594-bebf-7f09a0a9be52&amp;_t=gps-id:pcStoreLeaderboard,scm-url:1007.22922.271278.0,pvid:60f1fd43-dfc8-4594-bebf-7f09a0a9be52,tpp_buckets:668%232846%238113%231998&amp;pdp_ext_f=%7B%22order%22%3A%22113%22%2C%22eval%22%3A%221%22%2C%22sceneId%22%3A%2212922%22%7D&amp;pdp_npi=4%40dis%21GBP%215.89%215.89%21%21%2153.74%2153.74%21%40211b815c17426772262835108e68ee%2112000032717531978%21rec%21UK%216056454675%21X&amp;spm=a2g0o.store_pc_home.smartLeaderboard_2003105687344.1005005352992401" TargetMode="External"/><Relationship Id="rId4" Type="http://schemas.openxmlformats.org/officeDocument/2006/relationships/hyperlink" Target="https://www.aliexpress.com/item/1005005028909948.html?spm=a2g0o.order_list.order_list_main.10.7bc01802W66C0L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5.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4" t="s">
        <v>4</v>
      </c>
      <c r="C2" s="3">
        <v>1.0</v>
      </c>
      <c r="D2" s="5" t="s">
        <v>8</v>
      </c>
    </row>
    <row r="3">
      <c r="A3" s="3" t="s">
        <v>17</v>
      </c>
      <c r="B3" s="3"/>
      <c r="C3" s="3">
        <v>1.0</v>
      </c>
      <c r="D3" s="5" t="s">
        <v>18</v>
      </c>
    </row>
    <row r="4">
      <c r="A4" s="3" t="s">
        <v>19</v>
      </c>
      <c r="B4" s="7" t="s">
        <v>20</v>
      </c>
      <c r="C4" s="3">
        <v>1.0</v>
      </c>
      <c r="D4" s="5" t="s">
        <v>22</v>
      </c>
    </row>
    <row r="5">
      <c r="A5" s="3" t="s">
        <v>25</v>
      </c>
      <c r="B5" s="3" t="s">
        <v>26</v>
      </c>
      <c r="C5" s="3">
        <v>4.0</v>
      </c>
    </row>
    <row r="6">
      <c r="A6" s="3" t="s">
        <v>27</v>
      </c>
      <c r="B6" s="3" t="s">
        <v>28</v>
      </c>
      <c r="C6" s="3">
        <v>2.0</v>
      </c>
    </row>
    <row r="7">
      <c r="A7" s="3" t="s">
        <v>29</v>
      </c>
      <c r="B7" s="3" t="s">
        <v>30</v>
      </c>
      <c r="C7" s="3">
        <v>1.0</v>
      </c>
    </row>
    <row r="8">
      <c r="A8" s="3" t="s">
        <v>31</v>
      </c>
      <c r="B8" s="3" t="s">
        <v>32</v>
      </c>
      <c r="C8" s="3">
        <v>1.0</v>
      </c>
    </row>
    <row r="9">
      <c r="A9" s="3" t="s">
        <v>33</v>
      </c>
      <c r="B9" s="3" t="s">
        <v>34</v>
      </c>
      <c r="C9" s="3">
        <v>3.0</v>
      </c>
      <c r="D9" s="5" t="s">
        <v>36</v>
      </c>
    </row>
    <row r="10">
      <c r="A10" s="3" t="s">
        <v>39</v>
      </c>
      <c r="B10" s="3" t="s">
        <v>40</v>
      </c>
      <c r="C10" s="3">
        <v>1.0</v>
      </c>
      <c r="D10" s="5" t="s">
        <v>41</v>
      </c>
    </row>
    <row r="11">
      <c r="A11" s="3" t="s">
        <v>44</v>
      </c>
      <c r="B11" s="3" t="s">
        <v>45</v>
      </c>
      <c r="C11" s="3">
        <v>1.0</v>
      </c>
    </row>
    <row r="12">
      <c r="A12" s="3" t="s">
        <v>46</v>
      </c>
      <c r="B12" s="3" t="s">
        <v>47</v>
      </c>
      <c r="C12" s="3">
        <v>2.0</v>
      </c>
    </row>
    <row r="13">
      <c r="A13" s="3" t="s">
        <v>48</v>
      </c>
      <c r="B13" s="3" t="s">
        <v>49</v>
      </c>
      <c r="C13" s="3">
        <v>2.0</v>
      </c>
    </row>
    <row r="14">
      <c r="A14" s="3" t="s">
        <v>50</v>
      </c>
      <c r="B14" s="3" t="s">
        <v>51</v>
      </c>
      <c r="C14" s="3">
        <v>2.0</v>
      </c>
    </row>
    <row r="15">
      <c r="A15" s="3" t="s">
        <v>52</v>
      </c>
      <c r="B15" s="3" t="s">
        <v>53</v>
      </c>
      <c r="C15" s="3">
        <v>1.0</v>
      </c>
    </row>
    <row r="16">
      <c r="A16" s="3" t="s">
        <v>54</v>
      </c>
      <c r="B16" s="3" t="s">
        <v>55</v>
      </c>
      <c r="C16" s="3">
        <v>2.0</v>
      </c>
      <c r="D16" s="5" t="s">
        <v>56</v>
      </c>
    </row>
    <row r="17">
      <c r="A17" s="3" t="s">
        <v>59</v>
      </c>
      <c r="B17" s="3" t="s">
        <v>60</v>
      </c>
      <c r="C17" s="3">
        <v>1.0</v>
      </c>
      <c r="D17" s="5" t="s">
        <v>61</v>
      </c>
    </row>
    <row r="18">
      <c r="A18" s="3" t="s">
        <v>63</v>
      </c>
      <c r="B18" s="3" t="s">
        <v>64</v>
      </c>
      <c r="C18" s="3">
        <v>1.0</v>
      </c>
      <c r="D18" s="5" t="s">
        <v>65</v>
      </c>
    </row>
  </sheetData>
  <hyperlinks>
    <hyperlink r:id="rId1" ref="D2"/>
    <hyperlink r:id="rId2" ref="D3"/>
    <hyperlink r:id="rId3" ref="D4"/>
    <hyperlink r:id="rId4" ref="D9"/>
    <hyperlink r:id="rId5" ref="D10"/>
    <hyperlink r:id="rId6" ref="D16"/>
    <hyperlink r:id="rId7" ref="D17"/>
    <hyperlink r:id="rId8" ref="D18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7.0"/>
    <col customWidth="1" min="5" max="5" width="7.13"/>
    <col customWidth="1" min="8" max="9" width="10.88"/>
  </cols>
  <sheetData>
    <row r="1">
      <c r="A1" s="2" t="s">
        <v>0</v>
      </c>
      <c r="B1" s="2" t="s">
        <v>1</v>
      </c>
      <c r="C1" s="2" t="s">
        <v>5</v>
      </c>
      <c r="D1" s="2" t="s">
        <v>6</v>
      </c>
      <c r="E1" s="2" t="s">
        <v>2</v>
      </c>
      <c r="F1" s="2" t="s">
        <v>7</v>
      </c>
      <c r="G1" s="2" t="s">
        <v>9</v>
      </c>
      <c r="H1" s="2"/>
      <c r="I1" s="2" t="s">
        <v>10</v>
      </c>
      <c r="J1" s="2" t="s">
        <v>11</v>
      </c>
      <c r="K1" s="2" t="s">
        <v>12</v>
      </c>
      <c r="L1" s="2" t="s">
        <v>13</v>
      </c>
    </row>
    <row r="2">
      <c r="A2" s="2" t="s">
        <v>3</v>
      </c>
      <c r="B2" s="2" t="s">
        <v>14</v>
      </c>
      <c r="C2" s="5" t="s">
        <v>15</v>
      </c>
      <c r="D2" s="2" t="s">
        <v>16</v>
      </c>
      <c r="E2" s="2">
        <v>1.0</v>
      </c>
      <c r="F2" s="6">
        <f t="shared" ref="F2:F18" si="1">E2*30</f>
        <v>30</v>
      </c>
      <c r="G2" s="6">
        <f t="shared" ref="G2:G18" si="2">E2*50</f>
        <v>50</v>
      </c>
      <c r="H2" s="2"/>
      <c r="I2" s="2">
        <v>1.0</v>
      </c>
      <c r="J2" s="2">
        <v>1.72</v>
      </c>
      <c r="K2" s="6">
        <f t="shared" ref="K2:K18" si="3">J2/I2</f>
        <v>1.72</v>
      </c>
      <c r="L2" s="6">
        <f t="shared" ref="L2:L18" si="4">K2*E2</f>
        <v>1.72</v>
      </c>
    </row>
    <row r="3">
      <c r="A3" s="2" t="s">
        <v>21</v>
      </c>
      <c r="B3" s="2"/>
      <c r="C3" s="2"/>
      <c r="D3" s="2"/>
      <c r="E3" s="2">
        <v>1.0</v>
      </c>
      <c r="F3" s="6">
        <f t="shared" si="1"/>
        <v>30</v>
      </c>
      <c r="G3" s="6">
        <f t="shared" si="2"/>
        <v>50</v>
      </c>
      <c r="H3" s="2" t="s">
        <v>23</v>
      </c>
      <c r="I3" s="2">
        <v>50.0</v>
      </c>
      <c r="J3" s="2">
        <v>45.0</v>
      </c>
      <c r="K3" s="6">
        <f t="shared" si="3"/>
        <v>0.9</v>
      </c>
      <c r="L3" s="6">
        <f t="shared" si="4"/>
        <v>0.9</v>
      </c>
    </row>
    <row r="4">
      <c r="A4" s="2" t="s">
        <v>19</v>
      </c>
      <c r="B4" s="8" t="s">
        <v>20</v>
      </c>
      <c r="C4" s="2"/>
      <c r="D4" s="2"/>
      <c r="E4" s="2">
        <v>1.0</v>
      </c>
      <c r="F4" s="6">
        <f t="shared" si="1"/>
        <v>30</v>
      </c>
      <c r="G4" s="6">
        <f t="shared" si="2"/>
        <v>50</v>
      </c>
      <c r="H4" s="9" t="s">
        <v>24</v>
      </c>
      <c r="I4" s="2">
        <v>1.0</v>
      </c>
      <c r="J4" s="2">
        <v>1.26</v>
      </c>
      <c r="K4" s="6">
        <f t="shared" si="3"/>
        <v>1.26</v>
      </c>
      <c r="L4" s="6">
        <f t="shared" si="4"/>
        <v>1.26</v>
      </c>
    </row>
    <row r="5">
      <c r="A5" s="2" t="s">
        <v>25</v>
      </c>
      <c r="B5" s="2" t="s">
        <v>26</v>
      </c>
      <c r="C5" s="2" t="s">
        <v>35</v>
      </c>
      <c r="D5" s="2" t="s">
        <v>37</v>
      </c>
      <c r="E5" s="2">
        <v>4.0</v>
      </c>
      <c r="F5" s="6">
        <f t="shared" si="1"/>
        <v>120</v>
      </c>
      <c r="G5" s="6">
        <f t="shared" si="2"/>
        <v>200</v>
      </c>
      <c r="I5" s="2">
        <v>100.0</v>
      </c>
      <c r="J5" s="2">
        <v>1.0</v>
      </c>
      <c r="K5" s="6">
        <f t="shared" si="3"/>
        <v>0.01</v>
      </c>
      <c r="L5" s="6">
        <f t="shared" si="4"/>
        <v>0.04</v>
      </c>
    </row>
    <row r="6">
      <c r="A6" s="2" t="s">
        <v>27</v>
      </c>
      <c r="B6" s="2" t="s">
        <v>28</v>
      </c>
      <c r="C6" s="2" t="s">
        <v>35</v>
      </c>
      <c r="D6" s="2" t="s">
        <v>37</v>
      </c>
      <c r="E6" s="2">
        <v>2.0</v>
      </c>
      <c r="F6" s="6">
        <f t="shared" si="1"/>
        <v>60</v>
      </c>
      <c r="G6" s="6">
        <f t="shared" si="2"/>
        <v>100</v>
      </c>
      <c r="I6" s="2">
        <v>50.0</v>
      </c>
      <c r="J6" s="2">
        <v>1.0</v>
      </c>
      <c r="K6" s="6">
        <f t="shared" si="3"/>
        <v>0.02</v>
      </c>
      <c r="L6" s="6">
        <f t="shared" si="4"/>
        <v>0.04</v>
      </c>
    </row>
    <row r="7">
      <c r="A7" s="2" t="s">
        <v>29</v>
      </c>
      <c r="B7" s="2" t="s">
        <v>30</v>
      </c>
      <c r="C7" s="2" t="s">
        <v>35</v>
      </c>
      <c r="D7" s="2" t="s">
        <v>38</v>
      </c>
      <c r="E7" s="2">
        <v>1.0</v>
      </c>
      <c r="F7" s="6">
        <f t="shared" si="1"/>
        <v>30</v>
      </c>
      <c r="G7" s="6">
        <f t="shared" si="2"/>
        <v>50</v>
      </c>
      <c r="I7" s="2">
        <v>100.0</v>
      </c>
      <c r="J7" s="2">
        <v>3.81</v>
      </c>
      <c r="K7" s="6">
        <f t="shared" si="3"/>
        <v>0.0381</v>
      </c>
      <c r="L7" s="6">
        <f t="shared" si="4"/>
        <v>0.0381</v>
      </c>
    </row>
    <row r="8">
      <c r="A8" s="2" t="s">
        <v>31</v>
      </c>
      <c r="B8" s="2" t="s">
        <v>32</v>
      </c>
      <c r="C8" s="2" t="s">
        <v>35</v>
      </c>
      <c r="D8" s="2" t="s">
        <v>37</v>
      </c>
      <c r="E8" s="2">
        <v>1.0</v>
      </c>
      <c r="F8" s="6">
        <f t="shared" si="1"/>
        <v>30</v>
      </c>
      <c r="G8" s="6">
        <f t="shared" si="2"/>
        <v>50</v>
      </c>
      <c r="I8" s="2">
        <v>100.0</v>
      </c>
      <c r="J8" s="2">
        <v>1.0</v>
      </c>
      <c r="K8" s="6">
        <f t="shared" si="3"/>
        <v>0.01</v>
      </c>
      <c r="L8" s="6">
        <f t="shared" si="4"/>
        <v>0.01</v>
      </c>
    </row>
    <row r="9">
      <c r="A9" s="2" t="s">
        <v>33</v>
      </c>
      <c r="B9" s="2" t="s">
        <v>34</v>
      </c>
      <c r="C9" s="2" t="s">
        <v>35</v>
      </c>
      <c r="D9" s="2" t="s">
        <v>42</v>
      </c>
      <c r="E9" s="2">
        <v>3.0</v>
      </c>
      <c r="F9" s="6">
        <f t="shared" si="1"/>
        <v>90</v>
      </c>
      <c r="G9" s="6">
        <f t="shared" si="2"/>
        <v>150</v>
      </c>
      <c r="H9" s="5" t="s">
        <v>43</v>
      </c>
      <c r="I9" s="2">
        <v>100.0</v>
      </c>
      <c r="J9" s="2">
        <v>11.43</v>
      </c>
      <c r="K9" s="6">
        <f t="shared" si="3"/>
        <v>0.1143</v>
      </c>
      <c r="L9" s="6">
        <f t="shared" si="4"/>
        <v>0.3429</v>
      </c>
    </row>
    <row r="10">
      <c r="A10" s="2" t="s">
        <v>39</v>
      </c>
      <c r="B10" s="2" t="s">
        <v>40</v>
      </c>
      <c r="C10" s="2" t="s">
        <v>35</v>
      </c>
      <c r="D10" s="2" t="s">
        <v>57</v>
      </c>
      <c r="E10" s="2">
        <v>1.0</v>
      </c>
      <c r="F10" s="6">
        <f t="shared" si="1"/>
        <v>30</v>
      </c>
      <c r="G10" s="6">
        <f t="shared" si="2"/>
        <v>50</v>
      </c>
      <c r="I10" s="2">
        <v>5.0</v>
      </c>
      <c r="J10" s="2">
        <v>1.2</v>
      </c>
      <c r="K10" s="6">
        <f t="shared" si="3"/>
        <v>0.24</v>
      </c>
      <c r="L10" s="6">
        <f t="shared" si="4"/>
        <v>0.24</v>
      </c>
    </row>
    <row r="11">
      <c r="A11" s="2" t="s">
        <v>44</v>
      </c>
      <c r="B11" s="2" t="s">
        <v>45</v>
      </c>
      <c r="C11" s="2" t="s">
        <v>35</v>
      </c>
      <c r="D11" s="2" t="s">
        <v>58</v>
      </c>
      <c r="E11" s="2">
        <v>1.0</v>
      </c>
      <c r="F11" s="6">
        <f t="shared" si="1"/>
        <v>30</v>
      </c>
      <c r="G11" s="6">
        <f t="shared" si="2"/>
        <v>50</v>
      </c>
      <c r="I11" s="2">
        <v>100.0</v>
      </c>
      <c r="J11" s="2">
        <v>1.0</v>
      </c>
      <c r="K11" s="6">
        <f t="shared" si="3"/>
        <v>0.01</v>
      </c>
      <c r="L11" s="6">
        <f t="shared" si="4"/>
        <v>0.01</v>
      </c>
    </row>
    <row r="12">
      <c r="A12" s="2" t="s">
        <v>46</v>
      </c>
      <c r="B12" s="2" t="s">
        <v>62</v>
      </c>
      <c r="C12" s="2" t="s">
        <v>35</v>
      </c>
      <c r="D12" s="2" t="s">
        <v>58</v>
      </c>
      <c r="E12" s="2">
        <v>2.0</v>
      </c>
      <c r="F12" s="6">
        <f t="shared" si="1"/>
        <v>60</v>
      </c>
      <c r="G12" s="6">
        <f t="shared" si="2"/>
        <v>100</v>
      </c>
      <c r="I12" s="2">
        <v>100.0</v>
      </c>
      <c r="J12" s="2">
        <v>1.0</v>
      </c>
      <c r="K12" s="6">
        <f t="shared" si="3"/>
        <v>0.01</v>
      </c>
      <c r="L12" s="6">
        <f t="shared" si="4"/>
        <v>0.02</v>
      </c>
    </row>
    <row r="13">
      <c r="A13" s="2" t="s">
        <v>48</v>
      </c>
      <c r="B13" s="2" t="s">
        <v>49</v>
      </c>
      <c r="C13" s="2" t="s">
        <v>35</v>
      </c>
      <c r="D13" s="2" t="s">
        <v>58</v>
      </c>
      <c r="E13" s="2">
        <v>2.0</v>
      </c>
      <c r="F13" s="6">
        <f t="shared" si="1"/>
        <v>60</v>
      </c>
      <c r="G13" s="6">
        <f t="shared" si="2"/>
        <v>100</v>
      </c>
      <c r="I13" s="2">
        <v>100.0</v>
      </c>
      <c r="J13" s="2">
        <v>1.0</v>
      </c>
      <c r="K13" s="6">
        <f t="shared" si="3"/>
        <v>0.01</v>
      </c>
      <c r="L13" s="6">
        <f t="shared" si="4"/>
        <v>0.02</v>
      </c>
    </row>
    <row r="14">
      <c r="A14" s="2" t="s">
        <v>50</v>
      </c>
      <c r="B14" s="2" t="s">
        <v>51</v>
      </c>
      <c r="C14" s="2" t="s">
        <v>35</v>
      </c>
      <c r="D14" s="2" t="s">
        <v>58</v>
      </c>
      <c r="E14" s="2">
        <v>2.0</v>
      </c>
      <c r="F14" s="6">
        <f t="shared" si="1"/>
        <v>60</v>
      </c>
      <c r="G14" s="6">
        <f t="shared" si="2"/>
        <v>100</v>
      </c>
      <c r="I14" s="2">
        <v>100.0</v>
      </c>
      <c r="J14" s="2">
        <v>1.0</v>
      </c>
      <c r="K14" s="6">
        <f t="shared" si="3"/>
        <v>0.01</v>
      </c>
      <c r="L14" s="6">
        <f t="shared" si="4"/>
        <v>0.02</v>
      </c>
    </row>
    <row r="15">
      <c r="A15" s="2" t="s">
        <v>52</v>
      </c>
      <c r="B15" s="2" t="s">
        <v>53</v>
      </c>
      <c r="C15" s="2" t="s">
        <v>35</v>
      </c>
      <c r="D15" s="2" t="s">
        <v>58</v>
      </c>
      <c r="E15" s="2">
        <v>1.0</v>
      </c>
      <c r="F15" s="6">
        <f t="shared" si="1"/>
        <v>30</v>
      </c>
      <c r="G15" s="6">
        <f t="shared" si="2"/>
        <v>50</v>
      </c>
      <c r="I15" s="2">
        <v>100.0</v>
      </c>
      <c r="J15" s="2">
        <v>1.0</v>
      </c>
      <c r="K15" s="6">
        <f t="shared" si="3"/>
        <v>0.01</v>
      </c>
      <c r="L15" s="6">
        <f t="shared" si="4"/>
        <v>0.01</v>
      </c>
    </row>
    <row r="16">
      <c r="A16" s="2" t="s">
        <v>54</v>
      </c>
      <c r="B16" s="2" t="s">
        <v>66</v>
      </c>
      <c r="C16" s="2" t="s">
        <v>67</v>
      </c>
      <c r="D16" s="2" t="s">
        <v>68</v>
      </c>
      <c r="E16" s="2">
        <v>1.0</v>
      </c>
      <c r="F16" s="6">
        <f t="shared" si="1"/>
        <v>30</v>
      </c>
      <c r="G16" s="6">
        <f t="shared" si="2"/>
        <v>50</v>
      </c>
      <c r="I16" s="2">
        <v>10.0</v>
      </c>
      <c r="J16" s="2">
        <v>3.59</v>
      </c>
      <c r="K16" s="6">
        <f t="shared" si="3"/>
        <v>0.359</v>
      </c>
      <c r="L16" s="6">
        <f t="shared" si="4"/>
        <v>0.359</v>
      </c>
    </row>
    <row r="17">
      <c r="A17" s="2" t="s">
        <v>59</v>
      </c>
      <c r="B17" s="2" t="s">
        <v>69</v>
      </c>
      <c r="C17" s="2" t="s">
        <v>35</v>
      </c>
      <c r="D17" s="2" t="s">
        <v>70</v>
      </c>
      <c r="E17" s="2">
        <v>1.0</v>
      </c>
      <c r="F17" s="6">
        <f t="shared" si="1"/>
        <v>30</v>
      </c>
      <c r="G17" s="6">
        <f t="shared" si="2"/>
        <v>50</v>
      </c>
      <c r="H17" s="5" t="s">
        <v>71</v>
      </c>
      <c r="I17" s="2">
        <v>10.0</v>
      </c>
      <c r="J17" s="2">
        <v>1.2</v>
      </c>
      <c r="K17" s="6">
        <f t="shared" si="3"/>
        <v>0.12</v>
      </c>
      <c r="L17" s="6">
        <f t="shared" si="4"/>
        <v>0.12</v>
      </c>
    </row>
    <row r="18">
      <c r="A18" s="2" t="s">
        <v>63</v>
      </c>
      <c r="B18" s="2" t="s">
        <v>64</v>
      </c>
      <c r="C18" s="2" t="s">
        <v>35</v>
      </c>
      <c r="D18" s="2" t="s">
        <v>72</v>
      </c>
      <c r="E18" s="2">
        <v>1.0</v>
      </c>
      <c r="F18" s="6">
        <f t="shared" si="1"/>
        <v>30</v>
      </c>
      <c r="G18" s="6">
        <f t="shared" si="2"/>
        <v>50</v>
      </c>
      <c r="I18" s="2">
        <v>5.0</v>
      </c>
      <c r="J18" s="2">
        <v>1.89</v>
      </c>
      <c r="K18" s="6">
        <f t="shared" si="3"/>
        <v>0.378</v>
      </c>
      <c r="L18" s="6">
        <f t="shared" si="4"/>
        <v>0.378</v>
      </c>
    </row>
    <row r="19">
      <c r="L19" s="6">
        <f>sum(L2:L18)</f>
        <v>5.528</v>
      </c>
    </row>
  </sheetData>
  <hyperlinks>
    <hyperlink r:id="rId1" ref="C2"/>
    <hyperlink r:id="rId2" ref="H4"/>
    <hyperlink r:id="rId3" ref="H9"/>
    <hyperlink r:id="rId4" ref="H17"/>
  </hyperlinks>
  <drawing r:id="rId5"/>
</worksheet>
</file>